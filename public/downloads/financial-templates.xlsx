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024c1121044a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ДДС 13 недель" sheetId="1" r:id="Refcd3aa3e9d54b37"/>
    <x:sheet xmlns:r="http://schemas.openxmlformats.org/officeDocument/2006/relationships" name="Прибыль проектов" sheetId="2" r:id="Rc430a652a5ce4dec"/>
    <x:sheet xmlns:r="http://schemas.openxmlformats.org/officeDocument/2006/relationships" name="План-факт расходов" sheetId="3" r:id="R7f29493a414c41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;[Red](#,##0);&quot;-&quot;"/>
    <x:numFmt numFmtId="201" formatCode="0.0%;[Red](0.0%);&quot;-&quot;"/>
  </x:numFmts>
  <x:fonts count="7">
    <x:font>
      <x:sz val="11"/>
      <x:name val="Carlito"/>
    </x:font>
    <x:font>
      <x:sz val="11"/>
      <x:color rgb="FF242B2A"/>
      <x:name val="Arial"/>
    </x:font>
    <x:font>
      <x:b/>
      <x:sz val="16"/>
      <x:color rgb="FF153D3A"/>
      <x:name val="Arial"/>
    </x:font>
    <x:font>
      <x:sz val="10"/>
      <x:color rgb="FF596763"/>
      <x:name val="Arial"/>
    </x:font>
    <x:font>
      <x:b/>
      <x:sz val="11"/>
      <x:color rgb="FFFFFFFF"/>
      <x:name val="Arial"/>
    </x:font>
    <x:font>
      <x:sz val="11"/>
      <x:color rgb="FF0000FF"/>
      <x:name val="Arial"/>
    </x:font>
    <x:font>
      <x:b/>
      <x:sz val="11"/>
      <x:color rgb="FF242B2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53D3A"/>
      </x:patternFill>
    </x:fill>
    <x:fill>
      <x:patternFill patternType="solid">
        <x:fgColor rgb="FFFFF4C5"/>
      </x:patternFill>
    </x:fill>
    <x:fill>
      <x:patternFill patternType="solid">
        <x:fgColor rgb="FFE6ECE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200" fontId="6" fillId="4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1" fontId="6" fillId="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86dba1b09e4789" /><Relationship Type="http://schemas.openxmlformats.org/officeDocument/2006/relationships/theme" Target="/xl/theme/theme1.xml" Id="R3f6ae56e36ff4a7c" /><Relationship Type="http://schemas.openxmlformats.org/officeDocument/2006/relationships/sharedStrings" Target="/xl/sharedStrings.xml" Id="Rd4a0811fefd845e8" /><Relationship Type="http://schemas.openxmlformats.org/officeDocument/2006/relationships/worksheet" Target="/xl/worksheets/sheet1.xml" Id="Refcd3aa3e9d54b37" /><Relationship Type="http://schemas.openxmlformats.org/officeDocument/2006/relationships/worksheet" Target="/xl/worksheets/sheet2.xml" Id="Rc430a652a5ce4dec" /><Relationship Type="http://schemas.openxmlformats.org/officeDocument/2006/relationships/worksheet" Target="/xl/worksheets/sheet3.xml" Id="R7f29493a414c41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53D3A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5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24" customHeight="1">
      <x:c r="A1" s="2"/>
      <x:c r="B1" s="2"/>
      <x:c r="C1" s="2"/>
      <x:c r="D1" s="2"/>
      <x:c r="E1" s="2"/>
    </x:row>
    <x:row r="2" ht="32" customHeight="1">
      <x:c r="A2" s="3" t="str">
        <x:v>ДДС на 13 недель · руб.</x:v>
      </x:c>
      <x:c r="B2" s="2"/>
      <x:c r="C2" s="2"/>
      <x:c r="D2" s="2"/>
      <x:c r="E2" s="2"/>
    </x:row>
    <x:row r="3" ht="24" customHeight="1">
      <x:c r="A3" s="5" t="str">
        <x:v>Жёлтые ячейки — ввод. Выплаты вводите положительными. Укажите начальный остаток. Для каждой недели заполните обе суммы, включая 0. Итог доступен после заполнения всех 13 недель.</x:v>
      </x:c>
      <x:c r="B3" s="5"/>
      <x:c r="C3" s="5"/>
      <x:c r="D3" s="5"/>
      <x:c r="E3" s="5"/>
    </x:row>
    <x:row r="4" ht="24" customHeight="1">
      <x:c r="A4" s="5"/>
      <x:c r="B4" s="5"/>
      <x:c r="C4" s="5"/>
      <x:c r="D4" s="5"/>
      <x:c r="E4" s="5"/>
    </x:row>
    <x:row r="5" ht="24" customHeight="1">
      <x:c r="A5" s="2" t="str">
        <x:v>Начальный остаток, руб.</x:v>
      </x:c>
      <x:c r="B5" s="12"/>
      <x:c r="C5" s="2"/>
      <x:c r="D5" s="2"/>
      <x:c r="E5" s="2"/>
    </x:row>
    <x:row r="6" ht="24" customHeight="1">
      <x:c r="A6" s="2"/>
      <x:c r="B6" s="2"/>
      <x:c r="C6" s="2"/>
      <x:c r="D6" s="2"/>
      <x:c r="E6" s="2"/>
    </x:row>
    <x:row r="7" ht="32" customHeight="1">
      <x:c r="A7" s="8" t="str">
        <x:v>Неделя</x:v>
      </x:c>
      <x:c r="B7" s="8" t="str">
        <x:v>Поступления</x:v>
      </x:c>
      <x:c r="C7" s="8" t="str">
        <x:v>Выплаты</x:v>
      </x:c>
      <x:c r="D7" s="8" t="str">
        <x:v>Чистый поток</x:v>
      </x:c>
      <x:c r="E7" s="8" t="str">
        <x:v>Остаток</x:v>
      </x:c>
    </x:row>
    <x:row r="8" ht="24" customHeight="1">
      <x:c r="A8" s="2" t="n">
        <x:v>1</x:v>
      </x:c>
      <x:c r="B8" s="12"/>
      <x:c r="C8" s="12"/>
      <x:c r="D8" s="9" t="str">
        <x:f>IF(COUNT(B8:C8)&lt;2,"",B8-C8)</x:f>
      </x:c>
      <x:c r="E8" s="9" t="str">
        <x:f>IF(OR($B$5="",D8=""),"",$B$5+D8)</x:f>
      </x:c>
    </x:row>
    <x:row r="9" ht="24" customHeight="1">
      <x:c r="A9" s="2" t="n">
        <x:v>2</x:v>
      </x:c>
      <x:c r="B9" s="12"/>
      <x:c r="C9" s="12"/>
      <x:c r="D9" s="9" t="str">
        <x:f>IF(COUNT(B9:C9)&lt;2,"",B9-C9)</x:f>
      </x:c>
      <x:c r="E9" s="9" t="str">
        <x:f>IF(OR(E8="",D9=""),"",E8+D9)</x:f>
      </x:c>
    </x:row>
    <x:row r="10" ht="24" customHeight="1">
      <x:c r="A10" s="2" t="n">
        <x:v>3</x:v>
      </x:c>
      <x:c r="B10" s="12"/>
      <x:c r="C10" s="12"/>
      <x:c r="D10" s="9" t="str">
        <x:f>IF(COUNT(B10:C10)&lt;2,"",B10-C10)</x:f>
      </x:c>
      <x:c r="E10" s="9" t="str">
        <x:f>IF(OR(E9="",D10=""),"",E9+D10)</x:f>
      </x:c>
    </x:row>
    <x:row r="11" ht="24" customHeight="1">
      <x:c r="A11" s="2" t="n">
        <x:v>4</x:v>
      </x:c>
      <x:c r="B11" s="12"/>
      <x:c r="C11" s="12"/>
      <x:c r="D11" s="9" t="str">
        <x:f>IF(COUNT(B11:C11)&lt;2,"",B11-C11)</x:f>
      </x:c>
      <x:c r="E11" s="9" t="str">
        <x:f>IF(OR(E10="",D11=""),"",E10+D11)</x:f>
      </x:c>
    </x:row>
    <x:row r="12" ht="24" customHeight="1">
      <x:c r="A12" s="2" t="n">
        <x:v>5</x:v>
      </x:c>
      <x:c r="B12" s="12"/>
      <x:c r="C12" s="12"/>
      <x:c r="D12" s="9" t="str">
        <x:f>IF(COUNT(B12:C12)&lt;2,"",B12-C12)</x:f>
      </x:c>
      <x:c r="E12" s="9" t="str">
        <x:f>IF(OR(E11="",D12=""),"",E11+D12)</x:f>
      </x:c>
    </x:row>
    <x:row r="13" ht="24" customHeight="1">
      <x:c r="A13" s="2" t="n">
        <x:v>6</x:v>
      </x:c>
      <x:c r="B13" s="12"/>
      <x:c r="C13" s="12"/>
      <x:c r="D13" s="9" t="str">
        <x:f>IF(COUNT(B13:C13)&lt;2,"",B13-C13)</x:f>
      </x:c>
      <x:c r="E13" s="9" t="str">
        <x:f>IF(OR(E12="",D13=""),"",E12+D13)</x:f>
      </x:c>
    </x:row>
    <x:row r="14" ht="24" customHeight="1">
      <x:c r="A14" s="2" t="n">
        <x:v>7</x:v>
      </x:c>
      <x:c r="B14" s="12"/>
      <x:c r="C14" s="12"/>
      <x:c r="D14" s="9" t="str">
        <x:f>IF(COUNT(B14:C14)&lt;2,"",B14-C14)</x:f>
      </x:c>
      <x:c r="E14" s="9" t="str">
        <x:f>IF(OR(E13="",D14=""),"",E13+D14)</x:f>
      </x:c>
    </x:row>
    <x:row r="15" ht="24" customHeight="1">
      <x:c r="A15" s="2" t="n">
        <x:v>8</x:v>
      </x:c>
      <x:c r="B15" s="12"/>
      <x:c r="C15" s="12"/>
      <x:c r="D15" s="9" t="str">
        <x:f>IF(COUNT(B15:C15)&lt;2,"",B15-C15)</x:f>
      </x:c>
      <x:c r="E15" s="9" t="str">
        <x:f>IF(OR(E14="",D15=""),"",E14+D15)</x:f>
      </x:c>
    </x:row>
    <x:row r="16" ht="24" customHeight="1">
      <x:c r="A16" s="2" t="n">
        <x:v>9</x:v>
      </x:c>
      <x:c r="B16" s="12"/>
      <x:c r="C16" s="12"/>
      <x:c r="D16" s="9" t="str">
        <x:f>IF(COUNT(B16:C16)&lt;2,"",B16-C16)</x:f>
      </x:c>
      <x:c r="E16" s="9" t="str">
        <x:f>IF(OR(E15="",D16=""),"",E15+D16)</x:f>
      </x:c>
    </x:row>
    <x:row r="17" ht="24" customHeight="1">
      <x:c r="A17" s="2" t="n">
        <x:v>10</x:v>
      </x:c>
      <x:c r="B17" s="12"/>
      <x:c r="C17" s="12"/>
      <x:c r="D17" s="9" t="str">
        <x:f>IF(COUNT(B17:C17)&lt;2,"",B17-C17)</x:f>
      </x:c>
      <x:c r="E17" s="9" t="str">
        <x:f>IF(OR(E16="",D17=""),"",E16+D17)</x:f>
      </x:c>
    </x:row>
    <x:row r="18" ht="24" customHeight="1">
      <x:c r="A18" s="2" t="n">
        <x:v>11</x:v>
      </x:c>
      <x:c r="B18" s="12"/>
      <x:c r="C18" s="12"/>
      <x:c r="D18" s="9" t="str">
        <x:f>IF(COUNT(B18:C18)&lt;2,"",B18-C18)</x:f>
      </x:c>
      <x:c r="E18" s="9" t="str">
        <x:f>IF(OR(E17="",D18=""),"",E17+D18)</x:f>
      </x:c>
    </x:row>
    <x:row r="19" ht="24" customHeight="1">
      <x:c r="A19" s="2" t="n">
        <x:v>12</x:v>
      </x:c>
      <x:c r="B19" s="12"/>
      <x:c r="C19" s="12"/>
      <x:c r="D19" s="9" t="str">
        <x:f>IF(COUNT(B19:C19)&lt;2,"",B19-C19)</x:f>
      </x:c>
      <x:c r="E19" s="9" t="str">
        <x:f>IF(OR(E18="",D19=""),"",E18+D19)</x:f>
      </x:c>
    </x:row>
    <x:row r="20" ht="24" customHeight="1">
      <x:c r="A20" s="2" t="n">
        <x:v>13</x:v>
      </x:c>
      <x:c r="B20" s="12"/>
      <x:c r="C20" s="12"/>
      <x:c r="D20" s="9" t="str">
        <x:f>IF(COUNT(B20:C20)&lt;2,"",B20-C20)</x:f>
      </x:c>
      <x:c r="E20" s="9" t="str">
        <x:f>IF(OR(E19="",D20=""),"",E19+D20)</x:f>
      </x:c>
    </x:row>
    <x:row r="21" ht="24" customHeight="1">
      <x:c r="A21" s="2"/>
      <x:c r="B21" s="9"/>
      <x:c r="C21" s="9"/>
      <x:c r="D21" s="9"/>
      <x:c r="E21" s="9"/>
    </x:row>
    <x:row r="22" ht="29" customHeight="1">
      <x:c r="A22" s="16" t="str">
        <x:v>Итого за 13 недель</x:v>
      </x:c>
      <x:c r="B22" s="17" t="str">
        <x:f>IF(COUNT(B8:B20)&lt;13,"",SUM(B8:B20))</x:f>
      </x:c>
      <x:c r="C22" s="17" t="str">
        <x:f>IF(COUNT(C8:C20)&lt;13,"",SUM(C8:C20))</x:f>
      </x:c>
      <x:c r="D22" s="17" t="str">
        <x:f>IF(COUNT(D8:D20)&lt;13,"",SUM(D8:D20))</x:f>
      </x:c>
      <x:c r="E22" s="17" t="str">
        <x:f>IF(E20="","",E20)</x:f>
      </x:c>
    </x:row>
    <x:row r="23" ht="24" customHeight="1">
      <x:c r="A23" s="2"/>
      <x:c r="B23" s="9"/>
      <x:c r="C23" s="9"/>
      <x:c r="D23" s="9"/>
      <x:c r="E23" s="9"/>
    </x:row>
    <x:row r="24" ht="24" customHeight="1">
      <x:c r="A24" s="2"/>
      <x:c r="B24" s="9"/>
      <x:c r="C24" s="9"/>
      <x:c r="D24" s="9"/>
      <x:c r="E24" s="9"/>
    </x:row>
  </x:sheetData>
  <x:mergeCells>
    <x:mergeCell ref="A3:E4"/>
  </x:mergeCells>
  <x:conditionalFormatting sqref="E8:E20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53D3A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5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4" customHeight="1">
      <x:c r="A1" s="2"/>
      <x:c r="B1" s="2"/>
      <x:c r="C1" s="2"/>
      <x:c r="D1" s="2"/>
      <x:c r="E1" s="2"/>
      <x:c r="F1" s="2"/>
    </x:row>
    <x:row r="2" ht="32" customHeight="1">
      <x:c r="A2" s="3" t="str">
        <x:v>Прибыль по проектам · руб.</x:v>
      </x:c>
      <x:c r="B2" s="2"/>
      <x:c r="C2" s="2"/>
      <x:c r="D2" s="2"/>
      <x:c r="E2" s="2"/>
      <x:c r="F2" s="2"/>
    </x:row>
    <x:row r="3" ht="24" customHeight="1">
      <x:c r="A3" s="5" t="str">
        <x:v>Введите название проекта и три суммы, включая 0. Общие затраты распределите по принятому в компании правилу. Маржа = прибыль / выручка; при нулевой выручке маржа пустая. Итог появится после заполнения всех названных проектов.</x:v>
      </x:c>
      <x:c r="B3" s="5"/>
      <x:c r="C3" s="5"/>
      <x:c r="D3" s="5"/>
      <x:c r="E3" s="5"/>
      <x:c r="F3" s="5"/>
    </x:row>
    <x:row r="4" ht="24" customHeight="1">
      <x:c r="A4" s="5"/>
      <x:c r="B4" s="5"/>
      <x:c r="C4" s="5"/>
      <x:c r="D4" s="5"/>
      <x:c r="E4" s="5"/>
      <x:c r="F4" s="5"/>
    </x:row>
    <x:row r="5" ht="24" customHeight="1">
      <x:c r="A5" s="2"/>
      <x:c r="B5" s="2"/>
      <x:c r="C5" s="2"/>
      <x:c r="D5" s="2"/>
      <x:c r="E5" s="2"/>
      <x:c r="F5" s="2"/>
    </x:row>
    <x:row r="6" ht="24" customHeight="1">
      <x:c r="A6" s="2"/>
      <x:c r="B6" s="2"/>
      <x:c r="C6" s="2"/>
      <x:c r="D6" s="2"/>
      <x:c r="E6" s="2"/>
      <x:c r="F6" s="2"/>
    </x:row>
    <x:row r="7" ht="32" customHeight="1">
      <x:c r="A7" s="8" t="str">
        <x:v>Проект</x:v>
      </x:c>
      <x:c r="B7" s="8" t="str">
        <x:v>Выручка</x:v>
      </x:c>
      <x:c r="C7" s="8" t="str">
        <x:v>Прямые затраты</x:v>
      </x:c>
      <x:c r="D7" s="8" t="str">
        <x:v>Общие затраты</x:v>
      </x:c>
      <x:c r="E7" s="8" t="str">
        <x:v>Прибыль</x:v>
      </x:c>
      <x:c r="F7" s="8" t="str">
        <x:v>Маржа</x:v>
      </x:c>
    </x:row>
    <x:row r="8" ht="24" customHeight="1">
      <x:c r="A8" s="11"/>
      <x:c r="B8" s="12"/>
      <x:c r="C8" s="12"/>
      <x:c r="D8" s="12"/>
      <x:c r="E8" s="9" t="str">
        <x:f>IF(OR(A8="",COUNT(B8:D8)&lt;3),"",B8-C8-D8)</x:f>
      </x:c>
      <x:c r="F8" s="18" t="str">
        <x:f>IF(OR(E8="",B8=0),"",E8/B8)</x:f>
      </x:c>
    </x:row>
    <x:row r="9" ht="24" customHeight="1">
      <x:c r="A9" s="11"/>
      <x:c r="B9" s="12"/>
      <x:c r="C9" s="12"/>
      <x:c r="D9" s="12"/>
      <x:c r="E9" s="9" t="str">
        <x:f>IF(OR(A9="",COUNT(B9:D9)&lt;3),"",B9-C9-D9)</x:f>
      </x:c>
      <x:c r="F9" s="18" t="str">
        <x:f>IF(OR(E9="",B9=0),"",E9/B9)</x:f>
      </x:c>
    </x:row>
    <x:row r="10" ht="24" customHeight="1">
      <x:c r="A10" s="11"/>
      <x:c r="B10" s="12"/>
      <x:c r="C10" s="12"/>
      <x:c r="D10" s="12"/>
      <x:c r="E10" s="9" t="str">
        <x:f>IF(OR(A10="",COUNT(B10:D10)&lt;3),"",B10-C10-D10)</x:f>
      </x:c>
      <x:c r="F10" s="18" t="str">
        <x:f>IF(OR(E10="",B10=0),"",E10/B10)</x:f>
      </x:c>
    </x:row>
    <x:row r="11" ht="24" customHeight="1">
      <x:c r="A11" s="11"/>
      <x:c r="B11" s="12"/>
      <x:c r="C11" s="12"/>
      <x:c r="D11" s="12"/>
      <x:c r="E11" s="9" t="str">
        <x:f>IF(OR(A11="",COUNT(B11:D11)&lt;3),"",B11-C11-D11)</x:f>
      </x:c>
      <x:c r="F11" s="18" t="str">
        <x:f>IF(OR(E11="",B11=0),"",E11/B11)</x:f>
      </x:c>
    </x:row>
    <x:row r="12" ht="24" customHeight="1">
      <x:c r="A12" s="11"/>
      <x:c r="B12" s="12"/>
      <x:c r="C12" s="12"/>
      <x:c r="D12" s="12"/>
      <x:c r="E12" s="9" t="str">
        <x:f>IF(OR(A12="",COUNT(B12:D12)&lt;3),"",B12-C12-D12)</x:f>
      </x:c>
      <x:c r="F12" s="18" t="str">
        <x:f>IF(OR(E12="",B12=0),"",E12/B12)</x:f>
      </x:c>
    </x:row>
    <x:row r="13" ht="24" customHeight="1">
      <x:c r="A13" s="11"/>
      <x:c r="B13" s="12"/>
      <x:c r="C13" s="12"/>
      <x:c r="D13" s="12"/>
      <x:c r="E13" s="9" t="str">
        <x:f>IF(OR(A13="",COUNT(B13:D13)&lt;3),"",B13-C13-D13)</x:f>
      </x:c>
      <x:c r="F13" s="18" t="str">
        <x:f>IF(OR(E13="",B13=0),"",E13/B13)</x:f>
      </x:c>
    </x:row>
    <x:row r="14" ht="24" customHeight="1">
      <x:c r="A14" s="11"/>
      <x:c r="B14" s="12"/>
      <x:c r="C14" s="12"/>
      <x:c r="D14" s="12"/>
      <x:c r="E14" s="9" t="str">
        <x:f>IF(OR(A14="",COUNT(B14:D14)&lt;3),"",B14-C14-D14)</x:f>
      </x:c>
      <x:c r="F14" s="18" t="str">
        <x:f>IF(OR(E14="",B14=0),"",E14/B14)</x:f>
      </x:c>
    </x:row>
    <x:row r="15" ht="24" customHeight="1">
      <x:c r="A15" s="11"/>
      <x:c r="B15" s="12"/>
      <x:c r="C15" s="12"/>
      <x:c r="D15" s="12"/>
      <x:c r="E15" s="9" t="str">
        <x:f>IF(OR(A15="",COUNT(B15:D15)&lt;3),"",B15-C15-D15)</x:f>
      </x:c>
      <x:c r="F15" s="18" t="str">
        <x:f>IF(OR(E15="",B15=0),"",E15/B15)</x:f>
      </x:c>
    </x:row>
    <x:row r="16" ht="24" customHeight="1">
      <x:c r="A16" s="11"/>
      <x:c r="B16" s="12"/>
      <x:c r="C16" s="12"/>
      <x:c r="D16" s="12"/>
      <x:c r="E16" s="9" t="str">
        <x:f>IF(OR(A16="",COUNT(B16:D16)&lt;3),"",B16-C16-D16)</x:f>
      </x:c>
      <x:c r="F16" s="18" t="str">
        <x:f>IF(OR(E16="",B16=0),"",E16/B16)</x:f>
      </x:c>
    </x:row>
    <x:row r="17" ht="24" customHeight="1">
      <x:c r="A17" s="11"/>
      <x:c r="B17" s="12"/>
      <x:c r="C17" s="12"/>
      <x:c r="D17" s="12"/>
      <x:c r="E17" s="9" t="str">
        <x:f>IF(OR(A17="",COUNT(B17:D17)&lt;3),"",B17-C17-D17)</x:f>
      </x:c>
      <x:c r="F17" s="18" t="str">
        <x:f>IF(OR(E17="",B17=0),"",E17/B17)</x:f>
      </x:c>
    </x:row>
    <x:row r="18" ht="24" customHeight="1">
      <x:c r="A18" s="11"/>
      <x:c r="B18" s="12"/>
      <x:c r="C18" s="12"/>
      <x:c r="D18" s="12"/>
      <x:c r="E18" s="9" t="str">
        <x:f>IF(OR(A18="",COUNT(B18:D18)&lt;3),"",B18-C18-D18)</x:f>
      </x:c>
      <x:c r="F18" s="18" t="str">
        <x:f>IF(OR(E18="",B18=0),"",E18/B18)</x:f>
      </x:c>
    </x:row>
    <x:row r="19" ht="24" customHeight="1">
      <x:c r="A19" s="11"/>
      <x:c r="B19" s="12"/>
      <x:c r="C19" s="12"/>
      <x:c r="D19" s="12"/>
      <x:c r="E19" s="9" t="str">
        <x:f>IF(OR(A19="",COUNT(B19:D19)&lt;3),"",B19-C19-D19)</x:f>
      </x:c>
      <x:c r="F19" s="18" t="str">
        <x:f>IF(OR(E19="",B19=0),"",E19/B19)</x:f>
      </x:c>
    </x:row>
    <x:row r="20" ht="24" customHeight="1">
      <x:c r="A20" s="11"/>
      <x:c r="B20" s="12"/>
      <x:c r="C20" s="12"/>
      <x:c r="D20" s="12"/>
      <x:c r="E20" s="9" t="str">
        <x:f>IF(OR(A20="",COUNT(B20:D20)&lt;3),"",B20-C20-D20)</x:f>
      </x:c>
      <x:c r="F20" s="18" t="str">
        <x:f>IF(OR(E20="",B20=0),"",E20/B20)</x:f>
      </x:c>
    </x:row>
    <x:row r="21" ht="24" customHeight="1">
      <x:c r="A21" s="11"/>
      <x:c r="B21" s="12"/>
      <x:c r="C21" s="12"/>
      <x:c r="D21" s="12"/>
      <x:c r="E21" s="9" t="str">
        <x:f>IF(OR(A21="",COUNT(B21:D21)&lt;3),"",B21-C21-D21)</x:f>
      </x:c>
      <x:c r="F21" s="18" t="str">
        <x:f>IF(OR(E21="",B21=0),"",E21/B21)</x:f>
      </x:c>
    </x:row>
    <x:row r="22" ht="24" customHeight="1">
      <x:c r="A22" s="11"/>
      <x:c r="B22" s="12"/>
      <x:c r="C22" s="12"/>
      <x:c r="D22" s="12"/>
      <x:c r="E22" s="9" t="str">
        <x:f>IF(OR(A22="",COUNT(B22:D22)&lt;3),"",B22-C22-D22)</x:f>
      </x:c>
      <x:c r="F22" s="18" t="str">
        <x:f>IF(OR(E22="",B22=0),"",E22/B22)</x:f>
      </x:c>
    </x:row>
    <x:row r="23" ht="24" customHeight="1">
      <x:c r="A23" s="11"/>
      <x:c r="B23" s="12"/>
      <x:c r="C23" s="12"/>
      <x:c r="D23" s="12"/>
      <x:c r="E23" s="9" t="str">
        <x:f>IF(OR(A23="",COUNT(B23:D23)&lt;3),"",B23-C23-D23)</x:f>
      </x:c>
      <x:c r="F23" s="18" t="str">
        <x:f>IF(OR(E23="",B23=0),"",E23/B23)</x:f>
      </x:c>
    </x:row>
    <x:row r="24" ht="24" customHeight="1">
      <x:c r="A24" s="11"/>
      <x:c r="B24" s="12"/>
      <x:c r="C24" s="12"/>
      <x:c r="D24" s="12"/>
      <x:c r="E24" s="9" t="str">
        <x:f>IF(OR(A24="",COUNT(B24:D24)&lt;3),"",B24-C24-D24)</x:f>
      </x:c>
      <x:c r="F24" s="18" t="str">
        <x:f>IF(OR(E24="",B24=0),"",E24/B24)</x:f>
      </x:c>
    </x:row>
    <x:row r="25" ht="24" customHeight="1">
      <x:c r="A25" s="11"/>
      <x:c r="B25" s="12"/>
      <x:c r="C25" s="12"/>
      <x:c r="D25" s="12"/>
      <x:c r="E25" s="9" t="str">
        <x:f>IF(OR(A25="",COUNT(B25:D25)&lt;3),"",B25-C25-D25)</x:f>
      </x:c>
      <x:c r="F25" s="18" t="str">
        <x:f>IF(OR(E25="",B25=0),"",E25/B25)</x:f>
      </x:c>
    </x:row>
    <x:row r="26" ht="24" customHeight="1">
      <x:c r="A26" s="11"/>
      <x:c r="B26" s="12"/>
      <x:c r="C26" s="12"/>
      <x:c r="D26" s="12"/>
      <x:c r="E26" s="9" t="str">
        <x:f>IF(OR(A26="",COUNT(B26:D26)&lt;3),"",B26-C26-D26)</x:f>
      </x:c>
      <x:c r="F26" s="18" t="str">
        <x:f>IF(OR(E26="",B26=0),"",E26/B26)</x:f>
      </x:c>
    </x:row>
    <x:row r="27" ht="24" customHeight="1">
      <x:c r="A27" s="11"/>
      <x:c r="B27" s="12"/>
      <x:c r="C27" s="12"/>
      <x:c r="D27" s="12"/>
      <x:c r="E27" s="9" t="str">
        <x:f>IF(OR(A27="",COUNT(B27:D27)&lt;3),"",B27-C27-D27)</x:f>
      </x:c>
      <x:c r="F27" s="18" t="str">
        <x:f>IF(OR(E27="",B27=0),"",E27/B27)</x:f>
      </x:c>
    </x:row>
    <x:row r="28" ht="24" customHeight="1">
      <x:c r="A28" s="2"/>
      <x:c r="B28" s="9"/>
      <x:c r="C28" s="9"/>
      <x:c r="D28" s="9"/>
      <x:c r="E28" s="9"/>
      <x:c r="F28" s="18"/>
    </x:row>
    <x:row r="29" ht="29" customHeight="1">
      <x:c r="A29" s="16" t="str">
        <x:v>Итого</x:v>
      </x:c>
      <x:c r="B29" s="17" t="str">
        <x:f>IF(OR(COUNTA(A8:A27)=0,COUNT(E8:E27)&lt;&gt;COUNTA(A8:A27)),"",SUM(B8:B27))</x:f>
      </x:c>
      <x:c r="C29" s="17" t="str">
        <x:f>IF(OR(COUNTA(A8:A27)=0,COUNT(E8:E27)&lt;&gt;COUNTA(A8:A27)),"",SUM(C8:C27))</x:f>
      </x:c>
      <x:c r="D29" s="17" t="str">
        <x:f>IF(OR(COUNTA(A8:A27)=0,COUNT(E8:E27)&lt;&gt;COUNTA(A8:A27)),"",SUM(D8:D27))</x:f>
      </x:c>
      <x:c r="E29" s="17" t="str">
        <x:f>IF(OR(COUNTA(A8:A27)=0,COUNT(E8:E27)&lt;&gt;COUNTA(A8:A27)),"",SUM(E8:E27))</x:f>
      </x:c>
      <x:c r="F29" s="20" t="str">
        <x:f>IF(OR(E29="",B29=0),"",E29/B29)</x:f>
      </x:c>
    </x:row>
    <x:row r="30" ht="24" customHeight="1">
      <x:c r="A30" s="2"/>
      <x:c r="B30" s="9"/>
      <x:c r="C30" s="9"/>
      <x:c r="D30" s="9"/>
      <x:c r="E30" s="9"/>
      <x:c r="F30" s="9"/>
    </x:row>
    <x:row r="31" ht="24" customHeight="1">
      <x:c r="A31" s="2"/>
      <x:c r="B31" s="9"/>
      <x:c r="C31" s="9"/>
      <x:c r="D31" s="9"/>
      <x:c r="E31" s="9"/>
      <x:c r="F31" s="9"/>
    </x:row>
  </x:sheetData>
  <x:mergeCells>
    <x:mergeCell ref="A3:F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53D3A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5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24" customHeight="1">
      <x:c r="A1" s="2"/>
      <x:c r="B1" s="2"/>
      <x:c r="C1" s="2"/>
      <x:c r="D1" s="2"/>
      <x:c r="E1" s="2"/>
    </x:row>
    <x:row r="2" ht="32" customHeight="1">
      <x:c r="A2" s="3" t="str">
        <x:v>План-факт расходов · руб.</x:v>
      </x:c>
      <x:c r="B2" s="2"/>
      <x:c r="C2" s="2"/>
      <x:c r="D2" s="2"/>
      <x:c r="E2" s="2"/>
    </x:row>
    <x:row r="3" ht="24" customHeight="1">
      <x:c r="A3" s="5" t="str">
        <x:v>Введите название статьи, план и факт, включая 0. Отклонение = факт − план. Положительное значение означает перерасход. Процент не рассчитывается при нулевом плане. Итог появится после заполнения всех названных статей.</x:v>
      </x:c>
      <x:c r="B3" s="5"/>
      <x:c r="C3" s="5"/>
      <x:c r="D3" s="5"/>
      <x:c r="E3" s="5"/>
    </x:row>
    <x:row r="4" ht="24" customHeight="1">
      <x:c r="A4" s="5"/>
      <x:c r="B4" s="5"/>
      <x:c r="C4" s="5"/>
      <x:c r="D4" s="5"/>
      <x:c r="E4" s="5"/>
    </x:row>
    <x:row r="5" ht="24" customHeight="1">
      <x:c r="A5" s="2"/>
      <x:c r="B5" s="2"/>
      <x:c r="C5" s="2"/>
      <x:c r="D5" s="2"/>
      <x:c r="E5" s="2"/>
    </x:row>
    <x:row r="6" ht="24" customHeight="1">
      <x:c r="A6" s="2"/>
      <x:c r="B6" s="2"/>
      <x:c r="C6" s="2"/>
      <x:c r="D6" s="2"/>
      <x:c r="E6" s="2"/>
    </x:row>
    <x:row r="7" ht="32" customHeight="1">
      <x:c r="A7" s="8" t="str">
        <x:v>Статья</x:v>
      </x:c>
      <x:c r="B7" s="8" t="str">
        <x:v>План</x:v>
      </x:c>
      <x:c r="C7" s="8" t="str">
        <x:v>Факт</x:v>
      </x:c>
      <x:c r="D7" s="8" t="str">
        <x:v>Отклонение</x:v>
      </x:c>
      <x:c r="E7" s="8" t="str">
        <x:v>Отклонение, %</x:v>
      </x:c>
    </x:row>
    <x:row r="8" ht="24" customHeight="1">
      <x:c r="A8" s="11"/>
      <x:c r="B8" s="12"/>
      <x:c r="C8" s="12"/>
      <x:c r="D8" s="9" t="str">
        <x:f>IF(OR(A8="",COUNT(B8:C8)&lt;2),"",C8-B8)</x:f>
      </x:c>
      <x:c r="E8" s="18" t="str">
        <x:f>IF(OR(D8="",B8=0),"",D8/B8)</x:f>
      </x:c>
    </x:row>
    <x:row r="9" ht="24" customHeight="1">
      <x:c r="A9" s="11"/>
      <x:c r="B9" s="12"/>
      <x:c r="C9" s="12"/>
      <x:c r="D9" s="9" t="str">
        <x:f>IF(OR(A9="",COUNT(B9:C9)&lt;2),"",C9-B9)</x:f>
      </x:c>
      <x:c r="E9" s="18" t="str">
        <x:f>IF(OR(D9="",B9=0),"",D9/B9)</x:f>
      </x:c>
    </x:row>
    <x:row r="10" ht="24" customHeight="1">
      <x:c r="A10" s="11"/>
      <x:c r="B10" s="12"/>
      <x:c r="C10" s="12"/>
      <x:c r="D10" s="9" t="str">
        <x:f>IF(OR(A10="",COUNT(B10:C10)&lt;2),"",C10-B10)</x:f>
      </x:c>
      <x:c r="E10" s="18" t="str">
        <x:f>IF(OR(D10="",B10=0),"",D10/B10)</x:f>
      </x:c>
    </x:row>
    <x:row r="11" ht="24" customHeight="1">
      <x:c r="A11" s="11"/>
      <x:c r="B11" s="12"/>
      <x:c r="C11" s="12"/>
      <x:c r="D11" s="9" t="str">
        <x:f>IF(OR(A11="",COUNT(B11:C11)&lt;2),"",C11-B11)</x:f>
      </x:c>
      <x:c r="E11" s="18" t="str">
        <x:f>IF(OR(D11="",B11=0),"",D11/B11)</x:f>
      </x:c>
    </x:row>
    <x:row r="12" ht="24" customHeight="1">
      <x:c r="A12" s="11"/>
      <x:c r="B12" s="12"/>
      <x:c r="C12" s="12"/>
      <x:c r="D12" s="9" t="str">
        <x:f>IF(OR(A12="",COUNT(B12:C12)&lt;2),"",C12-B12)</x:f>
      </x:c>
      <x:c r="E12" s="18" t="str">
        <x:f>IF(OR(D12="",B12=0),"",D12/B12)</x:f>
      </x:c>
    </x:row>
    <x:row r="13" ht="24" customHeight="1">
      <x:c r="A13" s="11"/>
      <x:c r="B13" s="12"/>
      <x:c r="C13" s="12"/>
      <x:c r="D13" s="9" t="str">
        <x:f>IF(OR(A13="",COUNT(B13:C13)&lt;2),"",C13-B13)</x:f>
      </x:c>
      <x:c r="E13" s="18" t="str">
        <x:f>IF(OR(D13="",B13=0),"",D13/B13)</x:f>
      </x:c>
    </x:row>
    <x:row r="14" ht="24" customHeight="1">
      <x:c r="A14" s="11"/>
      <x:c r="B14" s="12"/>
      <x:c r="C14" s="12"/>
      <x:c r="D14" s="9" t="str">
        <x:f>IF(OR(A14="",COUNT(B14:C14)&lt;2),"",C14-B14)</x:f>
      </x:c>
      <x:c r="E14" s="18" t="str">
        <x:f>IF(OR(D14="",B14=0),"",D14/B14)</x:f>
      </x:c>
    </x:row>
    <x:row r="15" ht="24" customHeight="1">
      <x:c r="A15" s="11"/>
      <x:c r="B15" s="12"/>
      <x:c r="C15" s="12"/>
      <x:c r="D15" s="9" t="str">
        <x:f>IF(OR(A15="",COUNT(B15:C15)&lt;2),"",C15-B15)</x:f>
      </x:c>
      <x:c r="E15" s="18" t="str">
        <x:f>IF(OR(D15="",B15=0),"",D15/B15)</x:f>
      </x:c>
    </x:row>
    <x:row r="16" ht="24" customHeight="1">
      <x:c r="A16" s="11"/>
      <x:c r="B16" s="12"/>
      <x:c r="C16" s="12"/>
      <x:c r="D16" s="9" t="str">
        <x:f>IF(OR(A16="",COUNT(B16:C16)&lt;2),"",C16-B16)</x:f>
      </x:c>
      <x:c r="E16" s="18" t="str">
        <x:f>IF(OR(D16="",B16=0),"",D16/B16)</x:f>
      </x:c>
    </x:row>
    <x:row r="17" ht="24" customHeight="1">
      <x:c r="A17" s="11"/>
      <x:c r="B17" s="12"/>
      <x:c r="C17" s="12"/>
      <x:c r="D17" s="9" t="str">
        <x:f>IF(OR(A17="",COUNT(B17:C17)&lt;2),"",C17-B17)</x:f>
      </x:c>
      <x:c r="E17" s="18" t="str">
        <x:f>IF(OR(D17="",B17=0),"",D17/B17)</x:f>
      </x:c>
    </x:row>
    <x:row r="18" ht="24" customHeight="1">
      <x:c r="A18" s="11"/>
      <x:c r="B18" s="12"/>
      <x:c r="C18" s="12"/>
      <x:c r="D18" s="9" t="str">
        <x:f>IF(OR(A18="",COUNT(B18:C18)&lt;2),"",C18-B18)</x:f>
      </x:c>
      <x:c r="E18" s="18" t="str">
        <x:f>IF(OR(D18="",B18=0),"",D18/B18)</x:f>
      </x:c>
    </x:row>
    <x:row r="19" ht="24" customHeight="1">
      <x:c r="A19" s="11"/>
      <x:c r="B19" s="12"/>
      <x:c r="C19" s="12"/>
      <x:c r="D19" s="9" t="str">
        <x:f>IF(OR(A19="",COUNT(B19:C19)&lt;2),"",C19-B19)</x:f>
      </x:c>
      <x:c r="E19" s="18" t="str">
        <x:f>IF(OR(D19="",B19=0),"",D19/B19)</x:f>
      </x:c>
    </x:row>
    <x:row r="20" ht="24" customHeight="1">
      <x:c r="A20" s="2"/>
      <x:c r="B20" s="9"/>
      <x:c r="C20" s="9"/>
      <x:c r="D20" s="9"/>
      <x:c r="E20" s="18"/>
    </x:row>
    <x:row r="21" ht="29" customHeight="1">
      <x:c r="A21" s="16" t="str">
        <x:v>Итого</x:v>
      </x:c>
      <x:c r="B21" s="17" t="str">
        <x:f>IF(OR(COUNTA(A8:A19)=0,COUNT(D8:D19)&lt;&gt;COUNTA(A8:A19)),"",SUM(B8:B19))</x:f>
      </x:c>
      <x:c r="C21" s="17" t="str">
        <x:f>IF(OR(COUNTA(A8:A19)=0,COUNT(D8:D19)&lt;&gt;COUNTA(A8:A19)),"",SUM(C8:C19))</x:f>
      </x:c>
      <x:c r="D21" s="17" t="str">
        <x:f>IF(OR(COUNTA(A8:A19)=0,COUNT(D8:D19)&lt;&gt;COUNTA(A8:A19)),"",SUM(D8:D19))</x:f>
      </x:c>
      <x:c r="E21" s="20" t="str">
        <x:f>IF(OR(D21="",B21=0),"",D21/B21)</x:f>
      </x:c>
    </x:row>
    <x:row r="22" ht="24" customHeight="1">
      <x:c r="A22" s="2"/>
      <x:c r="B22" s="9"/>
      <x:c r="C22" s="9"/>
      <x:c r="D22" s="9"/>
      <x:c r="E22" s="9"/>
    </x:row>
    <x:row r="23" ht="24" customHeight="1">
      <x:c r="A23" s="2"/>
      <x:c r="B23" s="9"/>
      <x:c r="C23" s="9"/>
      <x:c r="D23" s="9"/>
      <x:c r="E23" s="9"/>
    </x:row>
    <x:row r="24" ht="24" customHeight="1">
      <x:c r="A24" s="2"/>
      <x:c r="B24" s="9"/>
      <x:c r="C24" s="9"/>
      <x:c r="D24" s="9"/>
      <x:c r="E24" s="9"/>
    </x:row>
  </x:sheetData>
  <x:mergeCells>
    <x:mergeCell ref="A3:E4"/>
  </x:mergeCells>
  <x:conditionalFormatting sqref="D8:D19">
    <x:cfRule type="cellIs" dxfId="1" priority="1" operator="greaterThan">
      <x:formula>0</x:formula>
    </x:cfRule>
  </x:conditionalFormatting>
  <x:pageMargins left="0.7" right="0.7" top="0.75" bottom="0.75" header="0.3" footer="0.3"/>
</x:worksheet>
</file>